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B203AA6-98FB-41D5-96A1-315C226563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hi-squared" sheetId="1" r:id="rId1"/>
    <sheet name="ANOVA" sheetId="2" r:id="rId2"/>
  </sheets>
  <definedNames>
    <definedName name="_xlchart.v1.0" hidden="1">'Chi-squared'!$D$1</definedName>
    <definedName name="_xlchart.v1.1" hidden="1">'Chi-squared'!$D$2:$D$43</definedName>
    <definedName name="_xlchart.v1.2" hidden="1">'Chi-squared'!$E$1</definedName>
    <definedName name="_xlchart.v1.3" hidden="1">'Chi-squared'!$E$2:$E$43</definedName>
    <definedName name="_xlchart.v1.4" hidden="1">'Chi-squared'!$F$1</definedName>
    <definedName name="_xlchart.v1.5" hidden="1">'Chi-squared'!$F$2:$F$43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" i="1" l="1"/>
  <c r="E80" i="1"/>
  <c r="B88" i="1"/>
  <c r="E85" i="1"/>
  <c r="B75" i="1"/>
  <c r="B74" i="1"/>
  <c r="B48" i="1"/>
  <c r="D48" i="1"/>
  <c r="C48" i="1"/>
  <c r="C50" i="1"/>
  <c r="B85" i="1"/>
  <c r="B84" i="1"/>
  <c r="B83" i="1"/>
  <c r="B82" i="1"/>
  <c r="B81" i="1"/>
  <c r="B80" i="1"/>
  <c r="B71" i="1"/>
  <c r="B72" i="1"/>
  <c r="B70" i="1"/>
  <c r="B69" i="1"/>
  <c r="B68" i="1"/>
  <c r="B67" i="1"/>
  <c r="B58" i="1"/>
  <c r="B57" i="1"/>
  <c r="B56" i="1"/>
  <c r="B55" i="1"/>
  <c r="B54" i="1"/>
  <c r="B61" i="1" s="1"/>
  <c r="B59" i="1"/>
  <c r="D50" i="1"/>
  <c r="B50" i="1"/>
  <c r="C49" i="1"/>
  <c r="D49" i="1"/>
  <c r="B49" i="1"/>
  <c r="D47" i="1"/>
  <c r="C47" i="1"/>
  <c r="B47" i="1"/>
  <c r="B87" i="1" l="1"/>
  <c r="D46" i="1"/>
  <c r="C46" i="1"/>
  <c r="B46" i="1"/>
  <c r="C84" i="1" l="1"/>
  <c r="D84" i="1" s="1"/>
  <c r="E84" i="1" s="1"/>
  <c r="C83" i="1"/>
  <c r="D83" i="1" s="1"/>
  <c r="E83" i="1" s="1"/>
  <c r="C67" i="1"/>
  <c r="C82" i="1"/>
  <c r="D82" i="1" s="1"/>
  <c r="E82" i="1" s="1"/>
  <c r="C81" i="1"/>
  <c r="D81" i="1" s="1"/>
  <c r="E81" i="1" s="1"/>
  <c r="C80" i="1"/>
  <c r="C56" i="1"/>
  <c r="D56" i="1" s="1"/>
  <c r="E56" i="1" s="1"/>
  <c r="C55" i="1"/>
  <c r="C54" i="1"/>
  <c r="C68" i="1"/>
  <c r="D68" i="1" s="1"/>
  <c r="E68" i="1" s="1"/>
  <c r="C71" i="1"/>
  <c r="D71" i="1" s="1"/>
  <c r="E71" i="1" s="1"/>
  <c r="C70" i="1"/>
  <c r="D70" i="1" s="1"/>
  <c r="E70" i="1" s="1"/>
  <c r="C69" i="1"/>
  <c r="D69" i="1" s="1"/>
  <c r="E69" i="1" s="1"/>
  <c r="D55" i="1"/>
  <c r="E55" i="1" s="1"/>
  <c r="C58" i="1"/>
  <c r="D58" i="1" s="1"/>
  <c r="E58" i="1" s="1"/>
  <c r="C57" i="1"/>
  <c r="D57" i="1" s="1"/>
  <c r="E57" i="1" s="1"/>
  <c r="C85" i="1" l="1"/>
  <c r="D80" i="1"/>
  <c r="D67" i="1"/>
  <c r="E67" i="1" s="1"/>
  <c r="E72" i="1" s="1"/>
  <c r="C72" i="1"/>
  <c r="D54" i="1"/>
  <c r="E54" i="1" s="1"/>
  <c r="B62" i="1" s="1"/>
  <c r="C59" i="1"/>
</calcChain>
</file>

<file path=xl/sharedStrings.xml><?xml version="1.0" encoding="utf-8"?>
<sst xmlns="http://schemas.openxmlformats.org/spreadsheetml/2006/main" count="168" uniqueCount="69">
  <si>
    <t>Search date</t>
  </si>
  <si>
    <t>checkin date</t>
  </si>
  <si>
    <t>Pool Villa Name</t>
  </si>
  <si>
    <t>Agoda</t>
  </si>
  <si>
    <t>Traveloka</t>
  </si>
  <si>
    <t>Trip</t>
  </si>
  <si>
    <t>Rice Villa ChiangMai</t>
  </si>
  <si>
    <t>Santhiya Phuket Natai</t>
  </si>
  <si>
    <t>Wings Villa Phuket</t>
  </si>
  <si>
    <t>Oscar Villa Aonang Krabi</t>
  </si>
  <si>
    <t>Annie Villa Khao Yai</t>
  </si>
  <si>
    <t>Amatapura Beachfront Villa</t>
  </si>
  <si>
    <t>V Villas Phuket</t>
  </si>
  <si>
    <t xml:space="preserve">Thames Tara Pool Villa Rawai </t>
  </si>
  <si>
    <t>Impiana private Villas</t>
  </si>
  <si>
    <t>Malibu Koh samui</t>
  </si>
  <si>
    <t>Sandalwood Luxury Villas</t>
  </si>
  <si>
    <t>Chaweng Noi Pool Villa</t>
  </si>
  <si>
    <t>Bandara Villas, Phuket</t>
  </si>
  <si>
    <t>Ammatara Pura Pool Villa</t>
  </si>
  <si>
    <r>
      <rPr>
        <sz val="11"/>
        <color rgb="FF000000"/>
        <rFont val="docs-Tahoma"/>
      </rPr>
      <t>Sandalwood Luxury Villas</t>
    </r>
  </si>
  <si>
    <t xml:space="preserve">   Oscar Villa Aonang Krabi</t>
  </si>
  <si>
    <r>
      <rPr>
        <sz val="11"/>
        <color rgb="FF000000"/>
        <rFont val="docs-Tahoma"/>
      </rPr>
      <t>Sandalwood Luxury Villas</t>
    </r>
  </si>
  <si>
    <t>Mean</t>
  </si>
  <si>
    <t>St. Dev</t>
  </si>
  <si>
    <t>Minimum</t>
  </si>
  <si>
    <t>Maximum</t>
  </si>
  <si>
    <t>Range</t>
  </si>
  <si>
    <t>Expected Prop.</t>
  </si>
  <si>
    <t>1793-22793</t>
  </si>
  <si>
    <t>22793-43793</t>
  </si>
  <si>
    <t>43793-64793</t>
  </si>
  <si>
    <t>64793-85793</t>
  </si>
  <si>
    <t>85793-106793</t>
  </si>
  <si>
    <t>Total</t>
  </si>
  <si>
    <t>Observed Freq. (Oi)</t>
  </si>
  <si>
    <t>Expectted Freq. (Ei)</t>
  </si>
  <si>
    <t>(Oi-Ei)^2/Ei</t>
  </si>
  <si>
    <t>deg freedom</t>
  </si>
  <si>
    <t>p-value</t>
  </si>
  <si>
    <t>2577-21577</t>
  </si>
  <si>
    <t>21577-40577</t>
  </si>
  <si>
    <t>40577-59577</t>
  </si>
  <si>
    <t>59577-78577</t>
  </si>
  <si>
    <t>78577-97577</t>
  </si>
  <si>
    <t>1257-40257</t>
  </si>
  <si>
    <t>40257-79257</t>
  </si>
  <si>
    <t>79257-118257</t>
  </si>
  <si>
    <t>157257-196257</t>
  </si>
  <si>
    <t>118257-157257</t>
  </si>
  <si>
    <t>Anova: Single Factor</t>
  </si>
  <si>
    <t>SUMMARY</t>
  </si>
  <si>
    <t>Groups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</si>
  <si>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</si>
  <si>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</si>
  <si>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</si>
  <si>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</si>
  <si>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</si>
  <si>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</si>
  <si>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</si>
  <si>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</si>
  <si>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</si>
  <si>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</si>
  <si>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</si>
  <si>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</si>
  <si>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Between Groups</t>
  </si>
  <si>
    <t>Within Groups</t>
  </si>
  <si>
    <t>Median</t>
  </si>
  <si>
    <t>Parameter/OTA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</si>
</sst>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Tahoma"/>
      <scheme val="minor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ahoma"/>
      <family val="2"/>
    </font>
    <font>
      <sz val="11"/>
      <color theme="1"/>
      <name val="Tahoma"/>
      <family val="2"/>
      <scheme val="minor"/>
    </font>
    <font>
      <sz val="11"/>
      <color rgb="FF000000"/>
      <name val="docs-Tahoma"/>
    </font>
    <font>
      <i/>
      <sz val="11"/>
      <color theme="1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4" fillId="0" borderId="0" xfId="0" applyFont="1"/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/>
    </xf>
    <xf numFmtId="0" fontId="0" fillId="0" borderId="0" xfId="0" applyFill="1" applyBorder="1"/>
    <xf numFmtId="0" fontId="0" fillId="3" borderId="11" xfId="0" applyFill="1" applyBorder="1"/>
    <xf numFmtId="0" fontId="6" fillId="4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5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200" b="0" i="0" baseline="0">
                <a:effectLst/>
              </a:rPr>
              <a:t>กราฟการเปรียบเทียบระหว่าง </a:t>
            </a:r>
            <a:r>
              <a:rPr lang="en-US" sz="1200" b="0" i="0" baseline="0">
                <a:effectLst/>
              </a:rPr>
              <a:t>Observed Frequency </a:t>
            </a:r>
            <a:r>
              <a:rPr lang="th-TH" sz="1200" b="0" i="0" baseline="0">
                <a:effectLst/>
              </a:rPr>
              <a:t>และ </a:t>
            </a:r>
            <a:r>
              <a:rPr lang="en-US" sz="1200" b="0" i="0" baseline="0">
                <a:effectLst/>
              </a:rPr>
              <a:t>Expected Frequency </a:t>
            </a:r>
            <a:r>
              <a:rPr lang="th-TH" sz="1200" b="0" i="0" baseline="0">
                <a:effectLst/>
              </a:rPr>
              <a:t>ในช่วงต่าง ๆ ของ </a:t>
            </a:r>
            <a:r>
              <a:rPr lang="en-US" sz="1200" b="0" i="0" baseline="0">
                <a:effectLst/>
              </a:rPr>
              <a:t>Agoda</a:t>
            </a:r>
            <a:endParaRPr lang="th-TH" sz="105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'Chi-squared'!$B$53</c:f>
              <c:strCache>
                <c:ptCount val="1"/>
                <c:pt idx="0">
                  <c:v>Observed Freq. (Oi)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'Chi-squared'!$A$54:$A$58</c:f>
              <c:strCache>
                <c:ptCount val="5"/>
                <c:pt idx="0">
                  <c:v>1793-22793</c:v>
                </c:pt>
                <c:pt idx="1">
                  <c:v>22793-43793</c:v>
                </c:pt>
                <c:pt idx="2">
                  <c:v>43793-64793</c:v>
                </c:pt>
                <c:pt idx="3">
                  <c:v>64793-85793</c:v>
                </c:pt>
                <c:pt idx="4">
                  <c:v>85793-106793</c:v>
                </c:pt>
              </c:strCache>
            </c:strRef>
          </c:cat>
          <c:val>
            <c:numRef>
              <c:f>'Chi-squared'!$B$54:$B$58</c:f>
              <c:numCache>
                <c:formatCode>#,##0</c:formatCode>
                <c:ptCount val="5"/>
                <c:pt idx="0">
                  <c:v>38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8-4176-94C9-48D2DA6374E8}"/>
            </c:ext>
          </c:extLst>
        </c:ser>
        <c:ser>
          <c:idx val="1"/>
          <c:order val="1"/>
          <c:tx>
            <c:strRef>
              <c:f>'Chi-squared'!$D$53</c:f>
              <c:strCache>
                <c:ptCount val="1"/>
                <c:pt idx="0">
                  <c:v>Expectted Freq. (Ei)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'Chi-squared'!$A$54:$A$58</c:f>
              <c:strCache>
                <c:ptCount val="5"/>
                <c:pt idx="0">
                  <c:v>1793-22793</c:v>
                </c:pt>
                <c:pt idx="1">
                  <c:v>22793-43793</c:v>
                </c:pt>
                <c:pt idx="2">
                  <c:v>43793-64793</c:v>
                </c:pt>
                <c:pt idx="3">
                  <c:v>64793-85793</c:v>
                </c:pt>
                <c:pt idx="4">
                  <c:v>85793-106793</c:v>
                </c:pt>
              </c:strCache>
            </c:strRef>
          </c:cat>
          <c:val>
            <c:numRef>
              <c:f>'Chi-squared'!$D$54:$D$58</c:f>
              <c:numCache>
                <c:formatCode>General</c:formatCode>
                <c:ptCount val="5"/>
                <c:pt idx="0">
                  <c:v>27.029542165244568</c:v>
                </c:pt>
                <c:pt idx="1">
                  <c:v>11.546794084585635</c:v>
                </c:pt>
                <c:pt idx="2">
                  <c:v>3.0994349338363247</c:v>
                </c:pt>
                <c:pt idx="3">
                  <c:v>0.31240662046338308</c:v>
                </c:pt>
                <c:pt idx="4">
                  <c:v>1.182219587009059E-2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8-4176-94C9-48D2DA6374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1381327"/>
        <c:axId val="1251364687"/>
      </c:barChart>
      <c:catAx>
        <c:axId val="125138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64687"/>
        <c:crosses val="autoZero"/>
        <c:auto val="1"/>
        <c:lblAlgn val="ctr"/>
        <c:lblOffset val="100"/>
        <c:noMultiLvlLbl val="0"/>
      </c:catAx>
      <c:valAx>
        <c:axId val="125136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1381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200" b="0" i="0" baseline="0">
                <a:effectLst/>
              </a:rPr>
              <a:t>กราฟการเปรียบเทียบระหว่าง </a:t>
            </a:r>
            <a:r>
              <a:rPr lang="en-US" sz="1200" b="0" i="0" baseline="0">
                <a:effectLst/>
              </a:rPr>
              <a:t>Observed Frequency </a:t>
            </a:r>
            <a:r>
              <a:rPr lang="th-TH" sz="1200" b="0" i="0" baseline="0">
                <a:effectLst/>
              </a:rPr>
              <a:t>และ </a:t>
            </a:r>
            <a:r>
              <a:rPr lang="en-US" sz="1200" b="0" i="0" baseline="0">
                <a:effectLst/>
              </a:rPr>
              <a:t>Expected Frequency </a:t>
            </a:r>
            <a:r>
              <a:rPr lang="th-TH" sz="1200" b="0" i="0" baseline="0">
                <a:effectLst/>
              </a:rPr>
              <a:t>ในช่วงต่าง ๆ ของ </a:t>
            </a:r>
            <a:r>
              <a:rPr lang="en-US" sz="1200" b="0" i="0" baseline="0">
                <a:effectLst/>
              </a:rPr>
              <a:t>Traveloka</a:t>
            </a:r>
          </a:p>
        </c:rich>
      </c:tx>
      <c:layout>
        <c:manualLayout>
          <c:xMode val="edge"/>
          <c:yMode val="edge"/>
          <c:x val="0.14537489063867018"/>
          <c:y val="1.85185185185185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'Chi-squared'!$B$66</c:f>
              <c:strCache>
                <c:ptCount val="1"/>
                <c:pt idx="0">
                  <c:v>Observed Freq. (Oi)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'Chi-squared'!$A$67:$A$71</c:f>
              <c:strCache>
                <c:ptCount val="5"/>
                <c:pt idx="0">
                  <c:v>2577-21577</c:v>
                </c:pt>
                <c:pt idx="1">
                  <c:v>21577-40577</c:v>
                </c:pt>
                <c:pt idx="2">
                  <c:v>40577-59577</c:v>
                </c:pt>
                <c:pt idx="3">
                  <c:v>59577-78577</c:v>
                </c:pt>
                <c:pt idx="4">
                  <c:v>78577-97577</c:v>
                </c:pt>
              </c:strCache>
            </c:strRef>
          </c:cat>
          <c:val>
            <c:numRef>
              <c:f>'Chi-squared'!$B$67:$B$71</c:f>
              <c:numCache>
                <c:formatCode>#,##0</c:formatCode>
                <c:ptCount val="5"/>
                <c:pt idx="0">
                  <c:v>35</c:v>
                </c:pt>
                <c:pt idx="1">
                  <c:v>4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12-4515-9D07-20E5AD8EBC35}"/>
            </c:ext>
          </c:extLst>
        </c:ser>
        <c:ser>
          <c:idx val="1"/>
          <c:order val="1"/>
          <c:tx>
            <c:strRef>
              <c:f>'Chi-squared'!$D$66</c:f>
              <c:strCache>
                <c:ptCount val="1"/>
                <c:pt idx="0">
                  <c:v>Expectted Freq. (Ei)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'Chi-squared'!$A$67:$A$71</c:f>
              <c:strCache>
                <c:ptCount val="5"/>
                <c:pt idx="0">
                  <c:v>2577-21577</c:v>
                </c:pt>
                <c:pt idx="1">
                  <c:v>21577-40577</c:v>
                </c:pt>
                <c:pt idx="2">
                  <c:v>40577-59577</c:v>
                </c:pt>
                <c:pt idx="3">
                  <c:v>59577-78577</c:v>
                </c:pt>
                <c:pt idx="4">
                  <c:v>78577-97577</c:v>
                </c:pt>
              </c:strCache>
            </c:strRef>
          </c:cat>
          <c:val>
            <c:numRef>
              <c:f>'Chi-squared'!$D$67:$D$71</c:f>
              <c:numCache>
                <c:formatCode>General</c:formatCode>
                <c:ptCount val="5"/>
                <c:pt idx="0">
                  <c:v>21.422251402566896</c:v>
                </c:pt>
                <c:pt idx="1">
                  <c:v>12.207174122604096</c:v>
                </c:pt>
                <c:pt idx="2">
                  <c:v>3.6188735298415327</c:v>
                </c:pt>
                <c:pt idx="3">
                  <c:v>0.41175323760616478</c:v>
                </c:pt>
                <c:pt idx="4">
                  <c:v>1.8041326342286279E-2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12-4515-9D07-20E5AD8EBC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0051136"/>
        <c:axId val="710051968"/>
      </c:barChart>
      <c:catAx>
        <c:axId val="71005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51968"/>
        <c:crosses val="autoZero"/>
        <c:auto val="1"/>
        <c:lblAlgn val="ctr"/>
        <c:lblOffset val="100"/>
        <c:noMultiLvlLbl val="0"/>
      </c:catAx>
      <c:valAx>
        <c:axId val="71005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005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200" b="0" i="0" u="none" strike="noStrike" baseline="0"/>
              <a:t>กราฟการเปรียบเทียบระหว่าง </a:t>
            </a:r>
            <a:r>
              <a:rPr lang="en-US" sz="1200" b="0" i="0" u="none" strike="noStrike" baseline="0"/>
              <a:t>Observed Frequency </a:t>
            </a:r>
            <a:r>
              <a:rPr lang="th-TH" sz="1200" b="0" i="0" u="none" strike="noStrike" baseline="0"/>
              <a:t>และ </a:t>
            </a:r>
            <a:r>
              <a:rPr lang="en-US" sz="1200" b="0" i="0" u="none" strike="noStrike" baseline="0"/>
              <a:t>Expected Frequency </a:t>
            </a:r>
            <a:r>
              <a:rPr lang="th-TH" sz="1200" b="0" i="0" u="none" strike="noStrike" baseline="0"/>
              <a:t>ในช่วงต่าง ๆ ของ </a:t>
            </a:r>
            <a:r>
              <a:rPr lang="en-US" sz="1200" b="0" i="0" u="none" strike="noStrike" baseline="0"/>
              <a:t>Trip</a:t>
            </a:r>
            <a:endParaRPr lang="th-TH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'Chi-squared'!$B$79</c:f>
              <c:strCache>
                <c:ptCount val="1"/>
                <c:pt idx="0">
                  <c:v>Observed Freq. (Oi)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'Chi-squared'!$A$80:$A$84</c:f>
              <c:strCache>
                <c:ptCount val="5"/>
                <c:pt idx="0">
                  <c:v>1257-40257</c:v>
                </c:pt>
                <c:pt idx="1">
                  <c:v>40257-79257</c:v>
                </c:pt>
                <c:pt idx="2">
                  <c:v>79257-118257</c:v>
                </c:pt>
                <c:pt idx="3">
                  <c:v>118257-157257</c:v>
                </c:pt>
                <c:pt idx="4">
                  <c:v>157257-196257</c:v>
                </c:pt>
              </c:strCache>
            </c:strRef>
          </c:cat>
          <c:val>
            <c:numRef>
              <c:f>'Chi-squared'!$B$80:$B$84</c:f>
              <c:numCache>
                <c:formatCode>#,##0</c:formatCode>
                <c:ptCount val="5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94-4C76-B06D-7A8622DA871D}"/>
            </c:ext>
          </c:extLst>
        </c:ser>
        <c:ser>
          <c:idx val="1"/>
          <c:order val="1"/>
          <c:tx>
            <c:strRef>
              <c:f>'Chi-squared'!$D$79</c:f>
              <c:strCache>
                <c:ptCount val="1"/>
                <c:pt idx="0">
                  <c:v>Expectted Freq. (Ei)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'Chi-squared'!$A$80:$A$84</c:f>
              <c:strCache>
                <c:ptCount val="5"/>
                <c:pt idx="0">
                  <c:v>1257-40257</c:v>
                </c:pt>
                <c:pt idx="1">
                  <c:v>40257-79257</c:v>
                </c:pt>
                <c:pt idx="2">
                  <c:v>79257-118257</c:v>
                </c:pt>
                <c:pt idx="3">
                  <c:v>118257-157257</c:v>
                </c:pt>
                <c:pt idx="4">
                  <c:v>157257-196257</c:v>
                </c:pt>
              </c:strCache>
            </c:strRef>
          </c:cat>
          <c:val>
            <c:numRef>
              <c:f>'Chi-squared'!$D$80:$D$84</c:f>
              <c:numCache>
                <c:formatCode>General</c:formatCode>
                <c:ptCount val="5"/>
                <c:pt idx="0">
                  <c:v>29.202622925625732</c:v>
                </c:pt>
                <c:pt idx="1">
                  <c:v>10.125106775440557</c:v>
                </c:pt>
                <c:pt idx="2">
                  <c:v>2.4389027626000201</c:v>
                </c:pt>
                <c:pt idx="3">
                  <c:v>0.22537650856236802</c:v>
                </c:pt>
                <c:pt idx="4">
                  <c:v>7.9910277713224342E-3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94-4C76-B06D-7A8622DA8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308288"/>
        <c:axId val="602306624"/>
      </c:barChart>
      <c:catAx>
        <c:axId val="60230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06624"/>
        <c:crosses val="autoZero"/>
        <c:auto val="1"/>
        <c:lblAlgn val="ctr"/>
        <c:lblOffset val="100"/>
        <c:noMultiLvlLbl val="0"/>
      </c:catAx>
      <c:valAx>
        <c:axId val="6023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230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Agoda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Tahoma"/>
              <a:ea typeface="Tahoma"/>
              <a:cs typeface="Tahoma"/>
            </a:rPr>
            <a:t>Agoda</a:t>
          </a:r>
        </a:p>
      </cx:txPr>
    </cx:title>
    <cx:plotArea>
      <cx:plotAreaRegion>
        <cx:series layoutId="clusteredColumn" uniqueId="{BDDF8B52-ED38-4849-809A-9C085429B0A5}">
          <cx:tx>
            <cx:txData>
              <cx:f>_xlchart.v1.0</cx:f>
              <cx:v>Agoda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Traveloka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Tahoma"/>
              <a:ea typeface="Tahoma"/>
              <a:cs typeface="Tahoma"/>
            </a:rPr>
            <a:t>Traveloka</a:t>
          </a:r>
        </a:p>
      </cx:txPr>
    </cx:title>
    <cx:plotArea>
      <cx:plotAreaRegion>
        <cx:series layoutId="clusteredColumn" uniqueId="{6DECAE9E-E3CA-44DE-96F7-2FCA65B5FA10}">
          <cx:tx>
            <cx:txData>
              <cx:f>_xlchart.v1.2</cx:f>
              <cx:v>Traveloka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Trip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Tahoma"/>
              <a:ea typeface="Tahoma"/>
              <a:cs typeface="Tahoma"/>
            </a:rPr>
            <a:t>Trip</a:t>
          </a:r>
        </a:p>
      </cx:txPr>
    </cx:title>
    <cx:plotArea>
      <cx:plotAreaRegion>
        <cx:series layoutId="clusteredColumn" uniqueId="{F93839EC-7B09-4916-B91A-189B9576CA10}">
          <cx:tx>
            <cx:txData>
              <cx:f>_xlchart.v1.4</cx:f>
              <cx:v>Trip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319688</xdr:colOff>
      <xdr:row>0</xdr:row>
      <xdr:rowOff>89994</xdr:rowOff>
    </xdr:from>
    <xdr:to>
      <xdr:col>13</xdr:col>
      <xdr:colOff>43792</xdr:colOff>
      <xdr:row>12</xdr:row>
      <xdr:rowOff>150866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7C03BE0-6451-4E04-8059-8C2D8A465FF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9828" y="89994"/>
              <a:ext cx="5065724" cy="26440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317500</xdr:colOff>
      <xdr:row>14</xdr:row>
      <xdr:rowOff>100942</xdr:rowOff>
    </xdr:from>
    <xdr:to>
      <xdr:col>13</xdr:col>
      <xdr:colOff>54741</xdr:colOff>
      <xdr:row>29</xdr:row>
      <xdr:rowOff>52332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E4DD25B-647F-48F4-9FFE-4B2B32A9AE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57640" y="3034642"/>
              <a:ext cx="5078861" cy="2580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308742</xdr:colOff>
      <xdr:row>30</xdr:row>
      <xdr:rowOff>79045</xdr:rowOff>
    </xdr:from>
    <xdr:to>
      <xdr:col>13</xdr:col>
      <xdr:colOff>43793</xdr:colOff>
      <xdr:row>45</xdr:row>
      <xdr:rowOff>30435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79012BA-940C-40FD-9E36-179AA49B74B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048882" y="5816905"/>
              <a:ext cx="5076671" cy="25802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17518</xdr:colOff>
      <xdr:row>47</xdr:row>
      <xdr:rowOff>99848</xdr:rowOff>
    </xdr:from>
    <xdr:to>
      <xdr:col>11</xdr:col>
      <xdr:colOff>551794</xdr:colOff>
      <xdr:row>63</xdr:row>
      <xdr:rowOff>40289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BABCFA2C-4169-49D7-861C-7396C17FC4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8757</xdr:colOff>
      <xdr:row>65</xdr:row>
      <xdr:rowOff>29779</xdr:rowOff>
    </xdr:from>
    <xdr:to>
      <xdr:col>11</xdr:col>
      <xdr:colOff>543033</xdr:colOff>
      <xdr:row>80</xdr:row>
      <xdr:rowOff>145393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730CD713-6838-40DA-B2D3-F504DAA288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122621</xdr:colOff>
      <xdr:row>82</xdr:row>
      <xdr:rowOff>12262</xdr:rowOff>
    </xdr:from>
    <xdr:to>
      <xdr:col>12</xdr:col>
      <xdr:colOff>1</xdr:colOff>
      <xdr:row>97</xdr:row>
      <xdr:rowOff>127876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FC30517C-3C88-4E93-B56C-1D689C12D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0"/>
  <sheetViews>
    <sheetView zoomScale="63" zoomScaleNormal="63" workbookViewId="0">
      <selection activeCell="R41" sqref="R41"/>
    </sheetView>
  </sheetViews>
  <sheetFormatPr defaultColWidth="12.59765625" defaultRowHeight="15" customHeight="1"/>
  <cols>
    <col min="1" max="1" width="24.19921875" customWidth="1"/>
    <col min="2" max="2" width="17.8984375" customWidth="1"/>
    <col min="3" max="3" width="27.19921875" customWidth="1"/>
    <col min="4" max="4" width="16.3984375" customWidth="1"/>
    <col min="5" max="5" width="15" customWidth="1"/>
    <col min="6" max="6" width="14" customWidth="1"/>
    <col min="7" max="7" width="18.5" customWidth="1"/>
    <col min="8" max="23" width="8.59765625" customWidth="1"/>
  </cols>
  <sheetData>
    <row r="1" spans="1:22" ht="48" customHeight="1" thickBot="1">
      <c r="A1" s="1" t="s">
        <v>0</v>
      </c>
      <c r="B1" s="2" t="s">
        <v>1</v>
      </c>
      <c r="C1" s="2" t="s">
        <v>2</v>
      </c>
      <c r="D1" s="3" t="s">
        <v>3</v>
      </c>
      <c r="E1" s="10" t="s">
        <v>4</v>
      </c>
      <c r="F1" s="11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ht="14.25" customHeight="1">
      <c r="A2" s="5">
        <v>243877</v>
      </c>
      <c r="B2" s="5">
        <v>243878</v>
      </c>
      <c r="C2" s="4" t="s">
        <v>6</v>
      </c>
      <c r="D2" s="6">
        <v>16023</v>
      </c>
      <c r="E2" s="6">
        <v>16403</v>
      </c>
      <c r="F2" s="6">
        <v>14733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2" ht="14.25" customHeight="1">
      <c r="A3" s="5">
        <v>243877</v>
      </c>
      <c r="B3" s="5">
        <v>243878</v>
      </c>
      <c r="C3" s="4" t="s">
        <v>7</v>
      </c>
      <c r="D3" s="6">
        <v>8266</v>
      </c>
      <c r="E3" s="6">
        <v>16446</v>
      </c>
      <c r="F3" s="6">
        <v>13105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1:22" ht="15.75" customHeight="1">
      <c r="A4" s="5">
        <v>243878</v>
      </c>
      <c r="B4" s="5">
        <v>243879</v>
      </c>
      <c r="C4" s="4" t="s">
        <v>8</v>
      </c>
      <c r="D4" s="6">
        <v>3771</v>
      </c>
      <c r="E4" s="6">
        <v>4824</v>
      </c>
      <c r="F4" s="6">
        <v>3864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 spans="1:22" ht="15.75" customHeight="1">
      <c r="A5" s="5">
        <v>243878</v>
      </c>
      <c r="B5" s="5">
        <v>243879</v>
      </c>
      <c r="C5" s="4" t="s">
        <v>9</v>
      </c>
      <c r="D5" s="6">
        <v>2378</v>
      </c>
      <c r="E5" s="6">
        <v>3248</v>
      </c>
      <c r="F5" s="6">
        <v>3335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 spans="1:22" ht="14.25" customHeight="1">
      <c r="A6" s="5">
        <v>243879</v>
      </c>
      <c r="B6" s="5">
        <v>243880</v>
      </c>
      <c r="C6" s="4" t="s">
        <v>10</v>
      </c>
      <c r="D6" s="6">
        <v>8519</v>
      </c>
      <c r="E6" s="6">
        <v>12283</v>
      </c>
      <c r="F6" s="6">
        <v>12287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ht="14.25" customHeight="1">
      <c r="A7" s="5">
        <v>243879</v>
      </c>
      <c r="B7" s="5">
        <v>243880</v>
      </c>
      <c r="C7" s="7" t="s">
        <v>11</v>
      </c>
      <c r="D7" s="6">
        <v>16737</v>
      </c>
      <c r="E7" s="6">
        <v>17194</v>
      </c>
      <c r="F7" s="6">
        <v>15425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ht="14.25" customHeight="1">
      <c r="A8" s="5">
        <v>243880</v>
      </c>
      <c r="B8" s="5">
        <v>243881</v>
      </c>
      <c r="C8" s="4" t="s">
        <v>12</v>
      </c>
      <c r="D8" s="6">
        <v>76415</v>
      </c>
      <c r="E8" s="6">
        <v>76415</v>
      </c>
      <c r="F8" s="6">
        <v>184680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ht="14.25" customHeight="1">
      <c r="A9" s="5">
        <v>243880</v>
      </c>
      <c r="B9" s="5">
        <v>243881</v>
      </c>
      <c r="C9" s="4" t="s">
        <v>13</v>
      </c>
      <c r="D9" s="6">
        <v>3149</v>
      </c>
      <c r="E9" s="6">
        <v>3748</v>
      </c>
      <c r="F9" s="6">
        <v>14975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</row>
    <row r="10" spans="1:22" ht="14.25" customHeight="1">
      <c r="A10" s="5">
        <v>243881</v>
      </c>
      <c r="B10" s="5">
        <v>243882</v>
      </c>
      <c r="C10" s="4" t="s">
        <v>14</v>
      </c>
      <c r="D10" s="6">
        <v>25174</v>
      </c>
      <c r="E10" s="6">
        <v>33803</v>
      </c>
      <c r="F10" s="8">
        <v>19999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</row>
    <row r="11" spans="1:22" ht="14.25" customHeight="1">
      <c r="A11" s="5">
        <v>243881</v>
      </c>
      <c r="B11" s="5">
        <v>243882</v>
      </c>
      <c r="C11" s="4" t="s">
        <v>15</v>
      </c>
      <c r="D11" s="6">
        <v>1793</v>
      </c>
      <c r="E11" s="6">
        <v>6608</v>
      </c>
      <c r="F11" s="6">
        <v>1257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</row>
    <row r="12" spans="1:22" ht="14.25" customHeight="1">
      <c r="A12" s="5">
        <v>243882</v>
      </c>
      <c r="B12" s="5">
        <v>243883</v>
      </c>
      <c r="C12" s="4" t="s">
        <v>16</v>
      </c>
      <c r="D12" s="6">
        <v>6793</v>
      </c>
      <c r="E12" s="6">
        <v>6727</v>
      </c>
      <c r="F12" s="6">
        <v>6909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</row>
    <row r="13" spans="1:22" ht="14.25" customHeight="1">
      <c r="A13" s="5">
        <v>243882</v>
      </c>
      <c r="B13" s="5">
        <v>243883</v>
      </c>
      <c r="C13" s="4" t="s">
        <v>17</v>
      </c>
      <c r="D13" s="6">
        <v>2336</v>
      </c>
      <c r="E13" s="6">
        <v>5714</v>
      </c>
      <c r="F13" s="6">
        <v>6150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</row>
    <row r="14" spans="1:22" ht="14.25" customHeight="1">
      <c r="A14" s="5">
        <v>243883</v>
      </c>
      <c r="B14" s="5">
        <v>243884</v>
      </c>
      <c r="C14" s="4" t="s">
        <v>18</v>
      </c>
      <c r="D14" s="6">
        <v>20569</v>
      </c>
      <c r="E14" s="6">
        <v>23535</v>
      </c>
      <c r="F14" s="6">
        <v>15342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</row>
    <row r="15" spans="1:22" ht="14.25" customHeight="1">
      <c r="A15" s="5">
        <v>243883</v>
      </c>
      <c r="B15" s="5">
        <v>243884</v>
      </c>
      <c r="C15" s="4" t="s">
        <v>19</v>
      </c>
      <c r="D15" s="6">
        <v>14869</v>
      </c>
      <c r="E15" s="8">
        <v>15924</v>
      </c>
      <c r="F15" s="6">
        <v>11494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</row>
    <row r="16" spans="1:22" ht="14.25" customHeight="1">
      <c r="A16" s="5">
        <v>243884</v>
      </c>
      <c r="B16" s="5">
        <v>243885</v>
      </c>
      <c r="C16" s="4" t="s">
        <v>6</v>
      </c>
      <c r="D16" s="6">
        <v>13776</v>
      </c>
      <c r="E16" s="6">
        <v>15420</v>
      </c>
      <c r="F16" s="6">
        <v>13897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spans="1:22" ht="14.25" customHeight="1">
      <c r="A17" s="5">
        <v>243884</v>
      </c>
      <c r="B17" s="5">
        <v>243885</v>
      </c>
      <c r="C17" s="4" t="s">
        <v>7</v>
      </c>
      <c r="D17" s="6">
        <v>14763</v>
      </c>
      <c r="E17" s="6">
        <v>18121</v>
      </c>
      <c r="F17" s="6">
        <v>14002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spans="1:22" ht="14.25" customHeight="1">
      <c r="A18" s="5">
        <v>243885</v>
      </c>
      <c r="B18" s="5">
        <v>243886</v>
      </c>
      <c r="C18" s="4" t="s">
        <v>8</v>
      </c>
      <c r="D18" s="6">
        <v>3303</v>
      </c>
      <c r="E18" s="6">
        <v>4824</v>
      </c>
      <c r="F18" s="6">
        <v>4293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spans="1:22" ht="14.25" customHeight="1">
      <c r="A19" s="5">
        <v>243885</v>
      </c>
      <c r="B19" s="5">
        <v>243886</v>
      </c>
      <c r="C19" s="4" t="s">
        <v>9</v>
      </c>
      <c r="D19" s="6">
        <v>2523</v>
      </c>
      <c r="E19" s="6">
        <v>2577</v>
      </c>
      <c r="F19" s="6">
        <v>2391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ht="14.25" customHeight="1">
      <c r="A20" s="5">
        <v>243886</v>
      </c>
      <c r="B20" s="5">
        <v>243887</v>
      </c>
      <c r="C20" s="4" t="s">
        <v>10</v>
      </c>
      <c r="D20" s="6">
        <v>11552</v>
      </c>
      <c r="E20" s="6">
        <v>11608</v>
      </c>
      <c r="F20" s="6">
        <v>12282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spans="1:22" ht="14.25" customHeight="1">
      <c r="A21" s="5">
        <v>243886</v>
      </c>
      <c r="B21" s="5">
        <v>243887</v>
      </c>
      <c r="C21" s="4" t="s">
        <v>11</v>
      </c>
      <c r="D21" s="6">
        <v>17757</v>
      </c>
      <c r="E21" s="6">
        <v>17113</v>
      </c>
      <c r="F21" s="6">
        <v>17607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spans="1:22" ht="14.25" customHeight="1">
      <c r="A22" s="5">
        <v>243887</v>
      </c>
      <c r="B22" s="5">
        <v>243888</v>
      </c>
      <c r="C22" s="4" t="s">
        <v>12</v>
      </c>
      <c r="D22" s="6">
        <v>88212</v>
      </c>
      <c r="E22" s="6">
        <v>78809</v>
      </c>
      <c r="F22" s="6">
        <v>140210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ht="14.25" customHeight="1">
      <c r="A23" s="5">
        <v>243887</v>
      </c>
      <c r="B23" s="5">
        <v>243888</v>
      </c>
      <c r="C23" s="4" t="s">
        <v>13</v>
      </c>
      <c r="D23" s="6">
        <v>2870</v>
      </c>
      <c r="E23" s="6">
        <v>3079</v>
      </c>
      <c r="F23" s="6">
        <v>5833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spans="1:22" ht="14.25" customHeight="1">
      <c r="A24" s="5">
        <v>243888</v>
      </c>
      <c r="B24" s="5">
        <v>243889</v>
      </c>
      <c r="C24" s="4" t="s">
        <v>14</v>
      </c>
      <c r="D24" s="6">
        <v>7610</v>
      </c>
      <c r="E24" s="6">
        <v>8919</v>
      </c>
      <c r="F24" s="6">
        <v>10228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spans="1:22" ht="14.25" customHeight="1">
      <c r="A25" s="5">
        <v>243888</v>
      </c>
      <c r="B25" s="5">
        <v>243889</v>
      </c>
      <c r="C25" s="4" t="s">
        <v>15</v>
      </c>
      <c r="D25" s="6">
        <v>8735</v>
      </c>
      <c r="E25" s="6">
        <v>7984</v>
      </c>
      <c r="F25" s="6">
        <v>7794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spans="1:22" ht="14.25" customHeight="1">
      <c r="A26" s="5">
        <v>243889</v>
      </c>
      <c r="B26" s="5">
        <v>243890</v>
      </c>
      <c r="C26" s="9" t="s">
        <v>20</v>
      </c>
      <c r="D26" s="6">
        <v>8432</v>
      </c>
      <c r="E26" s="6">
        <v>7891</v>
      </c>
      <c r="F26" s="6">
        <v>9156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spans="1:22" ht="14.25" customHeight="1">
      <c r="A27" s="5">
        <v>243889</v>
      </c>
      <c r="B27" s="5">
        <v>243890</v>
      </c>
      <c r="C27" s="4" t="s">
        <v>17</v>
      </c>
      <c r="D27" s="6">
        <v>2277</v>
      </c>
      <c r="E27" s="6">
        <v>5967</v>
      </c>
      <c r="F27" s="6">
        <v>6177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spans="1:22" ht="14.25" customHeight="1">
      <c r="A28" s="5">
        <v>243890</v>
      </c>
      <c r="B28" s="5">
        <v>243891</v>
      </c>
      <c r="C28" s="4" t="s">
        <v>18</v>
      </c>
      <c r="D28" s="6">
        <v>20480</v>
      </c>
      <c r="E28" s="6">
        <v>23320</v>
      </c>
      <c r="F28" s="6">
        <v>15424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14.25" customHeight="1">
      <c r="A29" s="5">
        <v>243890</v>
      </c>
      <c r="B29" s="5">
        <v>243891</v>
      </c>
      <c r="C29" s="4" t="s">
        <v>19</v>
      </c>
      <c r="D29" s="6">
        <v>14741</v>
      </c>
      <c r="E29" s="8">
        <v>15863</v>
      </c>
      <c r="F29" s="6">
        <v>11396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spans="1:22" ht="14.25" customHeight="1">
      <c r="A30" s="5">
        <v>243891</v>
      </c>
      <c r="B30" s="5">
        <v>243892</v>
      </c>
      <c r="C30" s="4" t="s">
        <v>6</v>
      </c>
      <c r="D30" s="6">
        <v>18105</v>
      </c>
      <c r="E30" s="6">
        <v>18545</v>
      </c>
      <c r="F30" s="6">
        <v>16676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spans="1:22" ht="14.25" customHeight="1">
      <c r="A31" s="5">
        <v>243891</v>
      </c>
      <c r="B31" s="5">
        <v>243892</v>
      </c>
      <c r="C31" s="4" t="s">
        <v>7</v>
      </c>
      <c r="D31" s="6">
        <v>10382</v>
      </c>
      <c r="E31" s="6">
        <v>10594</v>
      </c>
      <c r="F31" s="6">
        <v>12207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ht="14.25" customHeight="1">
      <c r="A32" s="5">
        <v>243892</v>
      </c>
      <c r="B32" s="5">
        <v>243893</v>
      </c>
      <c r="C32" s="4" t="s">
        <v>8</v>
      </c>
      <c r="D32" s="6">
        <v>3447</v>
      </c>
      <c r="E32" s="6">
        <v>4088</v>
      </c>
      <c r="F32" s="6">
        <v>4087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3" ht="14.25" customHeight="1">
      <c r="A33" s="5">
        <v>243892</v>
      </c>
      <c r="B33" s="5">
        <v>243893</v>
      </c>
      <c r="C33" s="7" t="s">
        <v>21</v>
      </c>
      <c r="D33" s="6">
        <v>2688</v>
      </c>
      <c r="E33" s="6">
        <v>2586</v>
      </c>
      <c r="F33" s="6">
        <v>2088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3" ht="14.25" customHeight="1">
      <c r="A34" s="5">
        <v>243893</v>
      </c>
      <c r="B34" s="5">
        <v>243894</v>
      </c>
      <c r="C34" s="4" t="s">
        <v>10</v>
      </c>
      <c r="D34" s="6">
        <v>11552</v>
      </c>
      <c r="E34" s="6">
        <v>11584</v>
      </c>
      <c r="F34" s="6">
        <v>12324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3" ht="14.25" customHeight="1">
      <c r="A35" s="5">
        <v>243893</v>
      </c>
      <c r="B35" s="5">
        <v>243894</v>
      </c>
      <c r="C35" s="4" t="s">
        <v>11</v>
      </c>
      <c r="D35" s="6">
        <v>17812</v>
      </c>
      <c r="E35" s="6">
        <v>17108</v>
      </c>
      <c r="F35" s="6">
        <v>17598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spans="1:23" ht="14.25" customHeight="1">
      <c r="A36" s="5">
        <v>243894</v>
      </c>
      <c r="B36" s="5">
        <v>243895</v>
      </c>
      <c r="C36" s="4" t="s">
        <v>12</v>
      </c>
      <c r="D36" s="6">
        <v>88225</v>
      </c>
      <c r="E36" s="6">
        <v>78812</v>
      </c>
      <c r="F36" s="6">
        <v>140227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spans="1:23" ht="14.25" customHeight="1">
      <c r="A37" s="5">
        <v>243894</v>
      </c>
      <c r="B37" s="5">
        <v>243895</v>
      </c>
      <c r="C37" s="4" t="s">
        <v>13</v>
      </c>
      <c r="D37" s="6">
        <v>2884</v>
      </c>
      <c r="E37" s="6">
        <v>3080</v>
      </c>
      <c r="F37" s="6">
        <v>5841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3" ht="14.25" customHeight="1">
      <c r="A38" s="5">
        <v>243895</v>
      </c>
      <c r="B38" s="5">
        <v>243896</v>
      </c>
      <c r="C38" s="4" t="s">
        <v>14</v>
      </c>
      <c r="D38" s="6">
        <v>7658</v>
      </c>
      <c r="E38" s="6">
        <v>8865</v>
      </c>
      <c r="F38" s="6">
        <v>10248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spans="1:23" ht="14.25" customHeight="1">
      <c r="A39" s="5">
        <v>243895</v>
      </c>
      <c r="B39" s="5">
        <v>243896</v>
      </c>
      <c r="C39" s="4" t="s">
        <v>15</v>
      </c>
      <c r="D39" s="6">
        <v>8747</v>
      </c>
      <c r="E39" s="6">
        <v>7996</v>
      </c>
      <c r="F39" s="6">
        <v>7794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spans="1:23" ht="14.25" customHeight="1">
      <c r="A40" s="5">
        <v>243896</v>
      </c>
      <c r="B40" s="5">
        <v>243897</v>
      </c>
      <c r="C40" s="9" t="s">
        <v>22</v>
      </c>
      <c r="D40" s="6">
        <v>8458</v>
      </c>
      <c r="E40" s="6">
        <v>7891</v>
      </c>
      <c r="F40" s="6">
        <v>9208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3" ht="14.25" customHeight="1">
      <c r="A41" s="5">
        <v>243896</v>
      </c>
      <c r="B41" s="5">
        <v>243897</v>
      </c>
      <c r="C41" s="4" t="s">
        <v>17</v>
      </c>
      <c r="D41" s="6">
        <v>2280</v>
      </c>
      <c r="E41" s="6">
        <v>5957</v>
      </c>
      <c r="F41" s="6">
        <v>6160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spans="1:23" ht="14.25" customHeight="1">
      <c r="A42" s="5">
        <v>243897</v>
      </c>
      <c r="B42" s="5">
        <v>243898</v>
      </c>
      <c r="C42" s="4" t="s">
        <v>18</v>
      </c>
      <c r="D42" s="6">
        <v>20450</v>
      </c>
      <c r="E42" s="6">
        <v>23310</v>
      </c>
      <c r="F42" s="6">
        <v>15435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spans="1:23" ht="14.25" customHeight="1">
      <c r="A43" s="5">
        <v>243897</v>
      </c>
      <c r="B43" s="5">
        <v>243898</v>
      </c>
      <c r="C43" s="4" t="s">
        <v>19</v>
      </c>
      <c r="D43" s="6">
        <v>14745</v>
      </c>
      <c r="E43" s="8">
        <v>15857</v>
      </c>
      <c r="F43" s="6">
        <v>11387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spans="1:23" ht="14.25" customHeight="1" thickBot="1">
      <c r="A44" s="4"/>
      <c r="B44" s="4"/>
      <c r="C44" s="4"/>
      <c r="D44" s="6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4.25" customHeight="1" thickBot="1">
      <c r="A45" s="23" t="s">
        <v>68</v>
      </c>
      <c r="B45" s="15" t="s">
        <v>3</v>
      </c>
      <c r="C45" s="10" t="s">
        <v>4</v>
      </c>
      <c r="D45" s="11" t="s">
        <v>5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4.25" customHeight="1">
      <c r="A46" s="7" t="s">
        <v>23</v>
      </c>
      <c r="B46" s="6">
        <f>AVERAGE(D2:D43)</f>
        <v>15268</v>
      </c>
      <c r="C46" s="6">
        <f>AVERAGE(E2:E43)</f>
        <v>16205.714285714286</v>
      </c>
      <c r="D46" s="6">
        <f>AVERAGE(F2:F43)</f>
        <v>20607.738095238095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4.25" customHeight="1">
      <c r="A47" s="7" t="s">
        <v>24</v>
      </c>
      <c r="B47" s="4">
        <f>_xlfn.STDEV.S(D2:D43)</f>
        <v>20448.795111502171</v>
      </c>
      <c r="C47" s="4">
        <f>_xlfn.STDEV.S(E2:E43)</f>
        <v>18713.186773862155</v>
      </c>
      <c r="D47" s="4">
        <f>_xlfn.STDEV.S(F2:F43)</f>
        <v>38457.710279658138</v>
      </c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4.25" customHeight="1">
      <c r="A48" t="s">
        <v>67</v>
      </c>
      <c r="B48" s="14">
        <f>MEDIAN(D2:D43)</f>
        <v>8741</v>
      </c>
      <c r="C48" s="14">
        <f xml:space="preserve"> MEDIAN(E2:E43)</f>
        <v>11089</v>
      </c>
      <c r="D48" s="14">
        <f xml:space="preserve"> MEDIAN(F2:F43)</f>
        <v>11445</v>
      </c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4.25" customHeight="1">
      <c r="A49" s="7" t="s">
        <v>25</v>
      </c>
      <c r="B49" s="14">
        <f>MIN(D2:D43)</f>
        <v>1793</v>
      </c>
      <c r="C49" s="14">
        <f>MIN(E2:E43)</f>
        <v>2577</v>
      </c>
      <c r="D49" s="14">
        <f>MIN(F2:F43)</f>
        <v>1257</v>
      </c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4.25" customHeight="1">
      <c r="A50" s="7" t="s">
        <v>26</v>
      </c>
      <c r="B50" s="14">
        <f>MAX(D2:D43)</f>
        <v>88225</v>
      </c>
      <c r="C50" s="14">
        <f>MAX(E2:E43)</f>
        <v>78812</v>
      </c>
      <c r="D50" s="14">
        <f>MAX(F2:F43)</f>
        <v>184680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4.25" customHeight="1" thickBot="1"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4.25" customHeight="1" thickBot="1">
      <c r="A52" s="16" t="s">
        <v>3</v>
      </c>
      <c r="B52" s="17"/>
      <c r="C52" s="17"/>
      <c r="D52" s="17"/>
      <c r="E52" s="1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4.25" customHeight="1">
      <c r="A53" s="12" t="s">
        <v>27</v>
      </c>
      <c r="B53" t="s">
        <v>35</v>
      </c>
      <c r="C53" t="s">
        <v>28</v>
      </c>
      <c r="D53" t="s">
        <v>36</v>
      </c>
      <c r="E53" s="4" t="s">
        <v>37</v>
      </c>
      <c r="H53" s="6"/>
      <c r="I53" s="6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4.25" customHeight="1">
      <c r="A54" s="12" t="s">
        <v>29</v>
      </c>
      <c r="B54" s="6">
        <f>COUNTIF(D2:D43, "&lt;=22793") - COUNTIF(D2:D43, "&lt;1793")</f>
        <v>38</v>
      </c>
      <c r="C54" s="4">
        <f>_xlfn.NORM.DIST(22793,B$46,B$47,TRUE)</f>
        <v>0.64356052774391825</v>
      </c>
      <c r="D54">
        <f>42*C54</f>
        <v>27.029542165244568</v>
      </c>
      <c r="E54" s="4">
        <f>(B54-D54)^2/D54</f>
        <v>4.4525706121244575</v>
      </c>
      <c r="H54" s="6"/>
      <c r="I54" s="6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4.25" customHeight="1">
      <c r="A55" s="12" t="s">
        <v>30</v>
      </c>
      <c r="B55" s="6">
        <f>COUNTIF(D$2:D$43,"&lt;=43793") - COUNTIF(D$2:D$43, "&lt;22793")</f>
        <v>1</v>
      </c>
      <c r="C55" s="13">
        <f>_xlfn.NORM.DIST(43793,B$46,B$47,TRUE) - _xlfn.NORM.DIST(22793,B$46,B$47,TRUE)</f>
        <v>0.27492366868061036</v>
      </c>
      <c r="D55">
        <f t="shared" ref="D55:D58" si="0">42*C55</f>
        <v>11.546794084585635</v>
      </c>
      <c r="E55" s="4">
        <f t="shared" ref="E55:E57" si="1">(B55-D55)^2/D55</f>
        <v>9.6333982097371305</v>
      </c>
      <c r="H55" s="6"/>
      <c r="I55" s="6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4.25" customHeight="1">
      <c r="A56" s="12" t="s">
        <v>31</v>
      </c>
      <c r="B56" s="6">
        <f>COUNTIF(D$2:D$43,"&lt;=64793") - COUNTIF(D$2:D$43, "&lt;43793")</f>
        <v>0</v>
      </c>
      <c r="C56" s="13">
        <f>_xlfn.NORM.DIST(64793,B$46,B$47,TRUE) - _xlfn.NORM.DIST(43793,B$46,B$47,TRUE)</f>
        <v>7.3796069853245827E-2</v>
      </c>
      <c r="D56">
        <f t="shared" si="0"/>
        <v>3.0994349338363247</v>
      </c>
      <c r="E56" s="4">
        <f t="shared" si="1"/>
        <v>3.0994349338363247</v>
      </c>
      <c r="H56" s="6"/>
      <c r="I56" s="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4.25" customHeight="1">
      <c r="A57" s="12" t="s">
        <v>32</v>
      </c>
      <c r="B57" s="6">
        <f>COUNTIF(D$2:D$43, "&lt;=85793") - COUNTIF(D$2:D$43, "&lt;64793")</f>
        <v>1</v>
      </c>
      <c r="C57" s="13">
        <f>_xlfn.NORM.DIST(85793,B$46,B$47,TRUE) - _xlfn.NORM.DIST(64793,B$46,B$47,TRUE)</f>
        <v>7.4382528681757876E-3</v>
      </c>
      <c r="D57">
        <f t="shared" si="0"/>
        <v>0.31240662046338308</v>
      </c>
      <c r="E57" s="4">
        <f t="shared" si="1"/>
        <v>1.5133631127321159</v>
      </c>
      <c r="H57" s="6"/>
      <c r="I57" s="6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4.25" customHeight="1">
      <c r="A58" s="12" t="s">
        <v>33</v>
      </c>
      <c r="B58" s="6">
        <f>COUNTIF(D$2:D$43, "&lt;=106793") - COUNTIF(D$2:D$43, "&lt;85793")</f>
        <v>2</v>
      </c>
      <c r="C58" s="13">
        <f>1-_xlfn.NORM.DIST(85793,B$46,B$47,TRUE)</f>
        <v>2.8148085404977596E-4</v>
      </c>
      <c r="D58">
        <f t="shared" si="0"/>
        <v>1.182219587009059E-2</v>
      </c>
      <c r="E58" s="4">
        <f>(B58-D58)^2/D58</f>
        <v>334.35844104353674</v>
      </c>
      <c r="H58" s="13"/>
      <c r="I58" s="1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4.25" customHeight="1">
      <c r="A59" s="12" t="s">
        <v>34</v>
      </c>
      <c r="B59" s="13">
        <f>COUNT(D2:D43)</f>
        <v>42</v>
      </c>
      <c r="C59" s="13">
        <f>SUM(C54:C58)</f>
        <v>1</v>
      </c>
      <c r="E59" s="13">
        <f>SUM(E54:E58)</f>
        <v>353.05720791196677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4.25" customHeight="1">
      <c r="A61" s="12" t="s">
        <v>38</v>
      </c>
      <c r="B61" s="6">
        <f>COUNT(B54:B58)-1</f>
        <v>4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4.25" customHeight="1">
      <c r="A62" s="12" t="s">
        <v>39</v>
      </c>
      <c r="B62" s="4">
        <f>_xlfn.CHISQ.DIST.RT(E59,B61)</f>
        <v>3.8359217714429996E-75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4.25" customHeight="1"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4.25" customHeight="1" thickBot="1"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4.25" customHeight="1" thickBot="1">
      <c r="A65" s="18" t="s">
        <v>4</v>
      </c>
      <c r="B65" s="19"/>
      <c r="C65" s="19"/>
      <c r="D65" s="19"/>
      <c r="E65" s="19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4.25" customHeight="1">
      <c r="A66" s="12" t="s">
        <v>27</v>
      </c>
      <c r="B66" t="s">
        <v>35</v>
      </c>
      <c r="C66" t="s">
        <v>28</v>
      </c>
      <c r="D66" t="s">
        <v>36</v>
      </c>
      <c r="E66" s="4" t="s">
        <v>37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4.25" customHeight="1">
      <c r="A67" s="12" t="s">
        <v>40</v>
      </c>
      <c r="B67" s="6">
        <f>COUNTIFS(E2:E43, "&gt;=2577", E2:E43, "&lt;=21577")</f>
        <v>35</v>
      </c>
      <c r="C67" s="4">
        <f>_xlfn.NORM.DIST(21577,D46,D47,TRUE)</f>
        <v>0.51005360482302131</v>
      </c>
      <c r="D67">
        <f>42*C67</f>
        <v>21.422251402566896</v>
      </c>
      <c r="E67" s="4">
        <f>(B67-D67)^2/D67</f>
        <v>8.6057834683522785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4.25" customHeight="1">
      <c r="A68" s="12" t="s">
        <v>41</v>
      </c>
      <c r="B68" s="6">
        <f>COUNTIFS(E2:E43, "&gt;21577", E2:E43, "&lt;=40577")</f>
        <v>4</v>
      </c>
      <c r="C68" s="4">
        <f>_xlfn.NORM.DIST(40577,C$46,C$47,TRUE) - _xlfn.NORM.DIST(21577,C$46,C$47,TRUE)</f>
        <v>0.29064700291914514</v>
      </c>
      <c r="D68">
        <f t="shared" ref="D68:D71" si="2">42*C68</f>
        <v>12.207174122604096</v>
      </c>
      <c r="E68" s="4">
        <f>(B68-D68)^2/D68</f>
        <v>5.5178787819545922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4.25" customHeight="1">
      <c r="A69" s="12" t="s">
        <v>42</v>
      </c>
      <c r="B69" s="6">
        <f>COUNTIFS(E2:E43, "&gt;40577", E2:E43, "&lt;=59577")</f>
        <v>0</v>
      </c>
      <c r="C69" s="4">
        <f>_xlfn.NORM.DIST(59577,C$46,C$47,TRUE) - _xlfn.NORM.DIST(40577,C$46,C$47,TRUE)</f>
        <v>8.6163655472417444E-2</v>
      </c>
      <c r="D69">
        <f t="shared" si="2"/>
        <v>3.6188735298415327</v>
      </c>
      <c r="E69" s="4">
        <f t="shared" ref="E69:E70" si="3">(B69-D69)^2/D69</f>
        <v>3.6188735298415327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4.25" customHeight="1">
      <c r="A70" s="12" t="s">
        <v>43</v>
      </c>
      <c r="B70" s="6">
        <f>COUNTIFS(E2:E43, "&gt;59577", E2:E43, "&lt;=78577")</f>
        <v>1</v>
      </c>
      <c r="C70" s="4">
        <f>_xlfn.NORM.DIST(78577,C$46,C$47,TRUE) - _xlfn.NORM.DIST(59577,C$46,C$47,TRUE)</f>
        <v>9.8036485144324947E-3</v>
      </c>
      <c r="D70">
        <f t="shared" si="2"/>
        <v>0.41175323760616478</v>
      </c>
      <c r="E70" s="4">
        <f t="shared" si="3"/>
        <v>0.84039230748637206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4.25" customHeight="1">
      <c r="A71" s="12" t="s">
        <v>44</v>
      </c>
      <c r="B71" s="6">
        <f>COUNTIFS(E2:E43, "&gt;78577", E2:E43, "&lt;=97577")</f>
        <v>2</v>
      </c>
      <c r="C71" s="4">
        <f>1-_xlfn.NORM.DIST(78577,C$46,C$47,TRUE)</f>
        <v>4.2955538910205426E-4</v>
      </c>
      <c r="D71">
        <f t="shared" si="2"/>
        <v>1.8041326342286279E-2</v>
      </c>
      <c r="E71" s="4">
        <f>(B71-D71)^2/D71</f>
        <v>217.73123048497828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4.25" customHeight="1">
      <c r="A72" s="12" t="s">
        <v>34</v>
      </c>
      <c r="B72" s="13">
        <f>COUNT(F2:F43)</f>
        <v>42</v>
      </c>
      <c r="C72" s="13">
        <f>SUM(C67:C71)</f>
        <v>0.89709746711811844</v>
      </c>
      <c r="E72" s="13">
        <f>SUM(E67:E71)</f>
        <v>236.31415857261305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4.25" customHeight="1">
      <c r="A74" s="12" t="s">
        <v>38</v>
      </c>
      <c r="B74" s="6">
        <f>COUNT(B67:B71)-1</f>
        <v>4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4.25" customHeight="1">
      <c r="A75" s="12" t="s">
        <v>39</v>
      </c>
      <c r="B75" s="4">
        <f>_xlfn.CHISQ.DIST.RT(E72,B74)</f>
        <v>5.7696878489261564E-50</v>
      </c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4.25" customHeight="1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4.25" customHeight="1" thickBot="1">
      <c r="A78" s="20" t="s">
        <v>5</v>
      </c>
      <c r="B78" s="21"/>
      <c r="C78" s="21"/>
      <c r="D78" s="21"/>
      <c r="E78" s="22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4.25" customHeight="1">
      <c r="A79" s="12" t="s">
        <v>27</v>
      </c>
      <c r="B79" t="s">
        <v>35</v>
      </c>
      <c r="C79" t="s">
        <v>28</v>
      </c>
      <c r="D79" t="s">
        <v>36</v>
      </c>
      <c r="E79" s="4" t="s">
        <v>37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4.25" customHeight="1">
      <c r="A80" t="s">
        <v>45</v>
      </c>
      <c r="B80" s="6">
        <f>COUNTIFS(F$2:F$43, "&gt;=1257", F$2:F$43, "&lt;=40257")</f>
        <v>39</v>
      </c>
      <c r="C80" s="4">
        <f>_xlfn.NORM.DIST(40257,D46,D47,TRUE)</f>
        <v>0.69530054584823175</v>
      </c>
      <c r="D80">
        <f>42*C80</f>
        <v>29.202622925625732</v>
      </c>
      <c r="E80" s="4">
        <f>(B80-D80)^2/D80</f>
        <v>3.2869854801036751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4.25" customHeight="1">
      <c r="A81" s="12" t="s">
        <v>46</v>
      </c>
      <c r="B81" s="6">
        <f>COUNTIFS(F$2:F$43, "&gt;40257", F$2:F$43, "&lt;=79257")</f>
        <v>0</v>
      </c>
      <c r="C81" s="4">
        <f>_xlfn.NORM.DIST(79257,D$46,D$47,TRUE) - _xlfn.NORM.DIST(40257,D$46,D$47,TRUE)</f>
        <v>0.24107397084382276</v>
      </c>
      <c r="D81">
        <f t="shared" ref="D81:D84" si="4">42*C81</f>
        <v>10.125106775440557</v>
      </c>
      <c r="E81" s="4">
        <f>(B81-D81)^2/D81</f>
        <v>10.125106775440557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4.25" customHeight="1">
      <c r="A82" s="12" t="s">
        <v>47</v>
      </c>
      <c r="B82" s="6">
        <f>COUNTIFS(F$2:F$43, "&gt;79257", F$2:F$43, "&lt;=118257")</f>
        <v>0</v>
      </c>
      <c r="C82" s="4">
        <f>_xlfn.NORM.DIST(118257,D$46,D$47,TRUE) - _xlfn.NORM.DIST(79257,D$46,D$47,TRUE)</f>
        <v>5.806911339523857E-2</v>
      </c>
      <c r="D82">
        <f t="shared" si="4"/>
        <v>2.4389027626000201</v>
      </c>
      <c r="E82" s="4">
        <f t="shared" ref="E82:E83" si="5">(B82-D82)^2/D82</f>
        <v>2.4389027626000201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4.25" customHeight="1">
      <c r="A83" t="s">
        <v>49</v>
      </c>
      <c r="B83" s="6">
        <f>COUNTIFS(F$2:F$43, "&gt;118257", F$2:F$43, "&lt;=157257")</f>
        <v>2</v>
      </c>
      <c r="C83" s="4">
        <f>_xlfn.NORM.DIST(157257,D$46,D$47,TRUE) - _xlfn.NORM.DIST(118257,D$46,D$47,TRUE)</f>
        <v>5.366107346723048E-3</v>
      </c>
      <c r="D83">
        <f t="shared" si="4"/>
        <v>0.22537650856236802</v>
      </c>
      <c r="E83" s="4">
        <f t="shared" si="5"/>
        <v>13.973455159328614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4.25" customHeight="1">
      <c r="A84" s="12" t="s">
        <v>48</v>
      </c>
      <c r="B84" s="6">
        <f>COUNTIFS(F$2:F$43, "&gt;157257", F$2:F$43, "&lt;=196257")</f>
        <v>1</v>
      </c>
      <c r="C84" s="4">
        <f>1-_xlfn.NORM.DIST(157257,D$46,D$47,TRUE)</f>
        <v>1.9026256598386748E-4</v>
      </c>
      <c r="D84">
        <f t="shared" si="4"/>
        <v>7.9910277713224342E-3</v>
      </c>
      <c r="E84" s="4">
        <f>(B84-D84)^2/D84</f>
        <v>123.1483395056881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4.25" customHeight="1">
      <c r="A85" s="12" t="s">
        <v>34</v>
      </c>
      <c r="B85" s="13">
        <f>COUNT(F$2:F$43)</f>
        <v>42</v>
      </c>
      <c r="C85" s="13">
        <f>SUM(C80:C84)</f>
        <v>1</v>
      </c>
      <c r="E85" s="13">
        <f>SUM(E80:E84)</f>
        <v>152.97278968316095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4.25" customHeight="1">
      <c r="A86" s="4"/>
      <c r="B86" s="4"/>
      <c r="C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4.25" customHeight="1">
      <c r="A87" s="12" t="s">
        <v>38</v>
      </c>
      <c r="B87" s="6">
        <f>COUNT(B80:B84)-1</f>
        <v>4</v>
      </c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4.25" customHeight="1">
      <c r="A88" s="12" t="s">
        <v>39</v>
      </c>
      <c r="B88" s="4">
        <f>_xlfn.CHISQ.DIST.RT(E85,B87)</f>
        <v>4.6946825915738268E-32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4.25" customHeight="1"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4.25" customHeight="1"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4.25" customHeight="1"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4.25" customHeight="1"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4.25" customHeight="1"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</sheetData>
  <mergeCells count="3">
    <mergeCell ref="A52:E52"/>
    <mergeCell ref="A65:E65"/>
    <mergeCell ref="A78:E78"/>
  </mergeCells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5D322-F2F0-435A-9EEC-C47B9E715895}">
  <dimension ref="A1:N43"/>
  <sheetViews>
    <sheetView tabSelected="1" workbookViewId="0">
      <selection activeCell="C2" sqref="C2:C3"/>
    </sheetView>
  </sheetViews>
  <sheetFormatPr defaultRowHeight="13.8"/>
  <cols>
    <col min="1" max="1" width="21.59765625" customWidth="1"/>
    <col min="2" max="2" width="22.8984375" customWidth="1"/>
    <col min="3" max="3" width="25.3984375" customWidth="1"/>
    <col min="8" max="8" width="18.5" customWidth="1"/>
  </cols>
  <sheetData>
    <row r="1" spans="1:14" ht="16.2" thickBot="1">
      <c r="A1" s="1" t="s">
        <v>0</v>
      </c>
      <c r="B1" s="2" t="s">
        <v>1</v>
      </c>
      <c r="C1" s="2" t="s">
        <v>2</v>
      </c>
      <c r="D1" s="3" t="s">
        <v>3</v>
      </c>
      <c r="E1" s="10" t="s">
        <v>4</v>
      </c>
      <c r="F1" s="11" t="s">
        <v>5</v>
      </c>
      <c r="H1" s="29" t="s">
        <v>50</v>
      </c>
      <c r="I1" s="24"/>
    </row>
    <row r="2" spans="1:14" ht="14.4" thickBot="1">
      <c r="A2" s="5">
        <v>243877</v>
      </c>
      <c r="B2" s="5">
        <v>243878</v>
      </c>
      <c r="C2" s="4" t="s">
        <v>6</v>
      </c>
      <c r="D2" s="6">
        <v>16023</v>
      </c>
      <c r="E2" s="6">
        <v>16403</v>
      </c>
      <c r="F2" s="6">
        <v>14733</v>
      </c>
    </row>
    <row r="3" spans="1:14">
      <c r="A3" s="5">
        <v>243877</v>
      </c>
      <c r="B3" s="5">
        <v>243878</v>
      </c>
      <c r="C3" s="4" t="s">
        <v>7</v>
      </c>
      <c r="D3" s="6">
        <v>8266</v>
      </c>
      <c r="E3" s="6">
        <v>16446</v>
      </c>
      <c r="F3" s="6">
        <v>13105</v>
      </c>
      <c r="H3" s="25" t="s">
        <v>51</v>
      </c>
    </row>
    <row r="4" spans="1:14">
      <c r="A4" s="5">
        <v>243878</v>
      </c>
      <c r="B4" s="5">
        <v>243879</v>
      </c>
      <c r="C4" s="4" t="s">
        <v>8</v>
      </c>
      <c r="D4" s="6">
        <v>3771</v>
      </c>
      <c r="E4" s="6">
        <v>4824</v>
      </c>
      <c r="F4" s="6">
        <v>3864</v>
      </c>
      <c r="H4" s="26" t="s">
        <v>52</v>
      </c>
      <c r="I4" s="26" t="s">
        <v>53</v>
      </c>
      <c r="J4" s="26" t="s">
        <v>54</v>
      </c>
      <c r="K4" s="26" t="s">
        <v>55</v>
      </c>
      <c r="L4" s="26" t="s">
        <v>56</v>
      </c>
    </row>
    <row r="5" spans="1:14">
      <c r="A5" s="5">
        <v>243878</v>
      </c>
      <c r="B5" s="5">
        <v>243879</v>
      </c>
      <c r="C5" s="4" t="s">
        <v>9</v>
      </c>
      <c r="D5" s="6">
        <v>2378</v>
      </c>
      <c r="E5" s="6">
        <v>3248</v>
      </c>
      <c r="F5" s="6">
        <v>3335</v>
      </c>
      <c r="H5" s="27" t="s">
        <v>3</v>
      </c>
      <c r="I5" s="28">
        <v>42</v>
      </c>
      <c r="J5" s="28">
        <v>641256</v>
      </c>
      <c r="K5" s="28">
        <v>15268</v>
      </c>
      <c r="L5" s="28">
        <v>418153221.51219511</v>
      </c>
    </row>
    <row r="6" spans="1:14">
      <c r="A6" s="5">
        <v>243879</v>
      </c>
      <c r="B6" s="5">
        <v>243880</v>
      </c>
      <c r="C6" s="4" t="s">
        <v>10</v>
      </c>
      <c r="D6" s="6">
        <v>8519</v>
      </c>
      <c r="E6" s="6">
        <v>12283</v>
      </c>
      <c r="F6" s="6">
        <v>12287</v>
      </c>
      <c r="H6" s="27" t="s">
        <v>4</v>
      </c>
      <c r="I6" s="28">
        <v>42</v>
      </c>
      <c r="J6" s="28">
        <v>680640</v>
      </c>
      <c r="K6" s="28">
        <v>16205.714285714286</v>
      </c>
      <c r="L6" s="28">
        <v>350183359.23344946</v>
      </c>
    </row>
    <row r="7" spans="1:14">
      <c r="A7" s="5">
        <v>243879</v>
      </c>
      <c r="B7" s="5">
        <v>243880</v>
      </c>
      <c r="C7" s="7" t="s">
        <v>11</v>
      </c>
      <c r="D7" s="6">
        <v>16737</v>
      </c>
      <c r="E7" s="6">
        <v>17194</v>
      </c>
      <c r="F7" s="6">
        <v>15425</v>
      </c>
      <c r="H7" s="27" t="s">
        <v>5</v>
      </c>
      <c r="I7" s="28">
        <v>42</v>
      </c>
      <c r="J7" s="28">
        <v>865525</v>
      </c>
      <c r="K7" s="28">
        <v>20607.738095238095</v>
      </c>
      <c r="L7" s="28">
        <v>1478995479.9541233</v>
      </c>
    </row>
    <row r="8" spans="1:14">
      <c r="A8" s="5">
        <v>243880</v>
      </c>
      <c r="B8" s="5">
        <v>243881</v>
      </c>
      <c r="C8" s="4" t="s">
        <v>12</v>
      </c>
      <c r="D8" s="6">
        <v>76415</v>
      </c>
      <c r="E8" s="6">
        <v>76415</v>
      </c>
      <c r="F8" s="6">
        <v>184680</v>
      </c>
    </row>
    <row r="9" spans="1:14" ht="14.4" thickBot="1">
      <c r="A9" s="5">
        <v>243880</v>
      </c>
      <c r="B9" s="5">
        <v>243881</v>
      </c>
      <c r="C9" s="4" t="s">
        <v>13</v>
      </c>
      <c r="D9" s="6">
        <v>3149</v>
      </c>
      <c r="E9" s="6">
        <v>3748</v>
      </c>
      <c r="F9" s="6">
        <v>14975</v>
      </c>
    </row>
    <row r="10" spans="1:14">
      <c r="A10" s="5">
        <v>243881</v>
      </c>
      <c r="B10" s="5">
        <v>243882</v>
      </c>
      <c r="C10" s="4" t="s">
        <v>14</v>
      </c>
      <c r="D10" s="6">
        <v>25174</v>
      </c>
      <c r="E10" s="6">
        <v>33803</v>
      </c>
      <c r="F10" s="8">
        <v>19999</v>
      </c>
      <c r="H10" s="25" t="s">
        <v>57</v>
      </c>
    </row>
    <row r="11" spans="1:14">
      <c r="A11" s="5">
        <v>243881</v>
      </c>
      <c r="B11" s="5">
        <v>243882</v>
      </c>
      <c r="C11" s="4" t="s">
        <v>15</v>
      </c>
      <c r="D11" s="6">
        <v>1793</v>
      </c>
      <c r="E11" s="6">
        <v>6608</v>
      </c>
      <c r="F11" s="6">
        <v>1257</v>
      </c>
      <c r="H11" s="26" t="s">
        <v>58</v>
      </c>
      <c r="I11" s="26" t="s">
        <v>59</v>
      </c>
      <c r="J11" s="26" t="s">
        <v>60</v>
      </c>
      <c r="K11" s="26" t="s">
        <v>61</v>
      </c>
      <c r="L11" s="26" t="s">
        <v>62</v>
      </c>
      <c r="M11" s="26" t="s">
        <v>63</v>
      </c>
      <c r="N11" s="26" t="s">
        <v>64</v>
      </c>
    </row>
    <row r="12" spans="1:14">
      <c r="A12" s="5">
        <v>243882</v>
      </c>
      <c r="B12" s="5">
        <v>243883</v>
      </c>
      <c r="C12" s="4" t="s">
        <v>16</v>
      </c>
      <c r="D12" s="6">
        <v>6793</v>
      </c>
      <c r="E12" s="6">
        <v>6727</v>
      </c>
      <c r="F12" s="6">
        <v>6909</v>
      </c>
      <c r="H12" s="28" t="s">
        <v>65</v>
      </c>
      <c r="I12" s="28">
        <v>682778944.77781677</v>
      </c>
      <c r="J12" s="28">
        <v>2</v>
      </c>
      <c r="K12" s="28">
        <v>341389472.38890839</v>
      </c>
      <c r="L12" s="28">
        <v>0.45572634105874976</v>
      </c>
      <c r="M12" s="28">
        <v>0.63505343863629293</v>
      </c>
      <c r="N12" s="28">
        <v>3.0698942378503262</v>
      </c>
    </row>
    <row r="13" spans="1:14">
      <c r="A13" s="5">
        <v>243882</v>
      </c>
      <c r="B13" s="5">
        <v>243883</v>
      </c>
      <c r="C13" s="4" t="s">
        <v>17</v>
      </c>
      <c r="D13" s="6">
        <v>2336</v>
      </c>
      <c r="E13" s="6">
        <v>5714</v>
      </c>
      <c r="F13" s="6">
        <v>6150</v>
      </c>
      <c r="H13" s="28" t="s">
        <v>66</v>
      </c>
      <c r="I13" s="28">
        <v>92140614488.69046</v>
      </c>
      <c r="J13" s="28">
        <v>123</v>
      </c>
      <c r="K13" s="28">
        <v>749110686.89992249</v>
      </c>
      <c r="L13" s="28"/>
      <c r="M13" s="28"/>
      <c r="N13" s="28"/>
    </row>
    <row r="14" spans="1:14">
      <c r="A14" s="5">
        <v>243883</v>
      </c>
      <c r="B14" s="5">
        <v>243884</v>
      </c>
      <c r="C14" s="4" t="s">
        <v>18</v>
      </c>
      <c r="D14" s="6">
        <v>20569</v>
      </c>
      <c r="E14" s="6">
        <v>23535</v>
      </c>
      <c r="F14" s="6">
        <v>15342</v>
      </c>
      <c r="H14" s="28"/>
      <c r="I14" s="28"/>
      <c r="J14" s="28"/>
      <c r="K14" s="28"/>
      <c r="L14" s="28"/>
      <c r="M14" s="28"/>
      <c r="N14" s="28"/>
    </row>
    <row r="15" spans="1:14">
      <c r="A15" s="5">
        <v>243883</v>
      </c>
      <c r="B15" s="5">
        <v>243884</v>
      </c>
      <c r="C15" s="4" t="s">
        <v>19</v>
      </c>
      <c r="D15" s="6">
        <v>14869</v>
      </c>
      <c r="E15" s="8">
        <v>15924</v>
      </c>
      <c r="F15" s="6">
        <v>11494</v>
      </c>
      <c r="H15" s="28" t="s">
        <v>34</v>
      </c>
      <c r="I15" s="28">
        <v>92823393433.468277</v>
      </c>
      <c r="J15" s="28">
        <v>125</v>
      </c>
      <c r="K15" s="28"/>
      <c r="L15" s="28"/>
      <c r="M15" s="28"/>
      <c r="N15" s="28"/>
    </row>
    <row r="16" spans="1:14">
      <c r="A16" s="5">
        <v>243884</v>
      </c>
      <c r="B16" s="5">
        <v>243885</v>
      </c>
      <c r="C16" s="4" t="s">
        <v>6</v>
      </c>
      <c r="D16" s="6">
        <v>13776</v>
      </c>
      <c r="E16" s="6">
        <v>15420</v>
      </c>
      <c r="F16" s="6">
        <v>13897</v>
      </c>
    </row>
    <row r="17" spans="1:6">
      <c r="A17" s="5">
        <v>243884</v>
      </c>
      <c r="B17" s="5">
        <v>243885</v>
      </c>
      <c r="C17" s="4" t="s">
        <v>7</v>
      </c>
      <c r="D17" s="6">
        <v>14763</v>
      </c>
      <c r="E17" s="6">
        <v>18121</v>
      </c>
      <c r="F17" s="6">
        <v>14002</v>
      </c>
    </row>
    <row r="18" spans="1:6">
      <c r="A18" s="5">
        <v>243885</v>
      </c>
      <c r="B18" s="5">
        <v>243886</v>
      </c>
      <c r="C18" s="4" t="s">
        <v>8</v>
      </c>
      <c r="D18" s="6">
        <v>3303</v>
      </c>
      <c r="E18" s="6">
        <v>4824</v>
      </c>
      <c r="F18" s="6">
        <v>4293</v>
      </c>
    </row>
    <row r="19" spans="1:6">
      <c r="A19" s="5">
        <v>243885</v>
      </c>
      <c r="B19" s="5">
        <v>243886</v>
      </c>
      <c r="C19" s="4" t="s">
        <v>9</v>
      </c>
      <c r="D19" s="6">
        <v>2523</v>
      </c>
      <c r="E19" s="6">
        <v>2577</v>
      </c>
      <c r="F19" s="6">
        <v>2391</v>
      </c>
    </row>
    <row r="20" spans="1:6">
      <c r="A20" s="5">
        <v>243886</v>
      </c>
      <c r="B20" s="5">
        <v>243887</v>
      </c>
      <c r="C20" s="4" t="s">
        <v>10</v>
      </c>
      <c r="D20" s="6">
        <v>11552</v>
      </c>
      <c r="E20" s="6">
        <v>11608</v>
      </c>
      <c r="F20" s="6">
        <v>12282</v>
      </c>
    </row>
    <row r="21" spans="1:6">
      <c r="A21" s="5">
        <v>243886</v>
      </c>
      <c r="B21" s="5">
        <v>243887</v>
      </c>
      <c r="C21" s="4" t="s">
        <v>11</v>
      </c>
      <c r="D21" s="6">
        <v>17757</v>
      </c>
      <c r="E21" s="6">
        <v>17113</v>
      </c>
      <c r="F21" s="6">
        <v>17607</v>
      </c>
    </row>
    <row r="22" spans="1:6">
      <c r="A22" s="5">
        <v>243887</v>
      </c>
      <c r="B22" s="5">
        <v>243888</v>
      </c>
      <c r="C22" s="4" t="s">
        <v>12</v>
      </c>
      <c r="D22" s="6">
        <v>88212</v>
      </c>
      <c r="E22" s="6">
        <v>78809</v>
      </c>
      <c r="F22" s="6">
        <v>140210</v>
      </c>
    </row>
    <row r="23" spans="1:6">
      <c r="A23" s="5">
        <v>243887</v>
      </c>
      <c r="B23" s="5">
        <v>243888</v>
      </c>
      <c r="C23" s="4" t="s">
        <v>13</v>
      </c>
      <c r="D23" s="6">
        <v>2870</v>
      </c>
      <c r="E23" s="6">
        <v>3079</v>
      </c>
      <c r="F23" s="6">
        <v>5833</v>
      </c>
    </row>
    <row r="24" spans="1:6">
      <c r="A24" s="5">
        <v>243888</v>
      </c>
      <c r="B24" s="5">
        <v>243889</v>
      </c>
      <c r="C24" s="4" t="s">
        <v>14</v>
      </c>
      <c r="D24" s="6">
        <v>7610</v>
      </c>
      <c r="E24" s="6">
        <v>8919</v>
      </c>
      <c r="F24" s="6">
        <v>10228</v>
      </c>
    </row>
    <row r="25" spans="1:6">
      <c r="A25" s="5">
        <v>243888</v>
      </c>
      <c r="B25" s="5">
        <v>243889</v>
      </c>
      <c r="C25" s="4" t="s">
        <v>15</v>
      </c>
      <c r="D25" s="6">
        <v>8735</v>
      </c>
      <c r="E25" s="6">
        <v>7984</v>
      </c>
      <c r="F25" s="6">
        <v>7794</v>
      </c>
    </row>
    <row r="26" spans="1:6">
      <c r="A26" s="5">
        <v>243889</v>
      </c>
      <c r="B26" s="5">
        <v>243890</v>
      </c>
      <c r="C26" s="9" t="s">
        <v>20</v>
      </c>
      <c r="D26" s="6">
        <v>8432</v>
      </c>
      <c r="E26" s="6">
        <v>7891</v>
      </c>
      <c r="F26" s="6">
        <v>9156</v>
      </c>
    </row>
    <row r="27" spans="1:6">
      <c r="A27" s="5">
        <v>243889</v>
      </c>
      <c r="B27" s="5">
        <v>243890</v>
      </c>
      <c r="C27" s="4" t="s">
        <v>17</v>
      </c>
      <c r="D27" s="6">
        <v>2277</v>
      </c>
      <c r="E27" s="6">
        <v>5967</v>
      </c>
      <c r="F27" s="6">
        <v>6177</v>
      </c>
    </row>
    <row r="28" spans="1:6">
      <c r="A28" s="5">
        <v>243890</v>
      </c>
      <c r="B28" s="5">
        <v>243891</v>
      </c>
      <c r="C28" s="4" t="s">
        <v>18</v>
      </c>
      <c r="D28" s="6">
        <v>20480</v>
      </c>
      <c r="E28" s="6">
        <v>23320</v>
      </c>
      <c r="F28" s="6">
        <v>15424</v>
      </c>
    </row>
    <row r="29" spans="1:6">
      <c r="A29" s="5">
        <v>243890</v>
      </c>
      <c r="B29" s="5">
        <v>243891</v>
      </c>
      <c r="C29" s="4" t="s">
        <v>19</v>
      </c>
      <c r="D29" s="6">
        <v>14741</v>
      </c>
      <c r="E29" s="8">
        <v>15863</v>
      </c>
      <c r="F29" s="6">
        <v>11396</v>
      </c>
    </row>
    <row r="30" spans="1:6">
      <c r="A30" s="5">
        <v>243891</v>
      </c>
      <c r="B30" s="5">
        <v>243892</v>
      </c>
      <c r="C30" s="4" t="s">
        <v>6</v>
      </c>
      <c r="D30" s="6">
        <v>18105</v>
      </c>
      <c r="E30" s="6">
        <v>18545</v>
      </c>
      <c r="F30" s="6">
        <v>16676</v>
      </c>
    </row>
    <row r="31" spans="1:6">
      <c r="A31" s="5">
        <v>243891</v>
      </c>
      <c r="B31" s="5">
        <v>243892</v>
      </c>
      <c r="C31" s="4" t="s">
        <v>7</v>
      </c>
      <c r="D31" s="6">
        <v>10382</v>
      </c>
      <c r="E31" s="6">
        <v>10594</v>
      </c>
      <c r="F31" s="6">
        <v>12207</v>
      </c>
    </row>
    <row r="32" spans="1:6">
      <c r="A32" s="5">
        <v>243892</v>
      </c>
      <c r="B32" s="5">
        <v>243893</v>
      </c>
      <c r="C32" s="4" t="s">
        <v>8</v>
      </c>
      <c r="D32" s="6">
        <v>3447</v>
      </c>
      <c r="E32" s="6">
        <v>4088</v>
      </c>
      <c r="F32" s="6">
        <v>4087</v>
      </c>
    </row>
    <row r="33" spans="1:6">
      <c r="A33" s="5">
        <v>243892</v>
      </c>
      <c r="B33" s="5">
        <v>243893</v>
      </c>
      <c r="C33" s="7" t="s">
        <v>21</v>
      </c>
      <c r="D33" s="6">
        <v>2688</v>
      </c>
      <c r="E33" s="6">
        <v>2586</v>
      </c>
      <c r="F33" s="6">
        <v>2088</v>
      </c>
    </row>
    <row r="34" spans="1:6">
      <c r="A34" s="5">
        <v>243893</v>
      </c>
      <c r="B34" s="5">
        <v>243894</v>
      </c>
      <c r="C34" s="4" t="s">
        <v>10</v>
      </c>
      <c r="D34" s="6">
        <v>11552</v>
      </c>
      <c r="E34" s="6">
        <v>11584</v>
      </c>
      <c r="F34" s="6">
        <v>12324</v>
      </c>
    </row>
    <row r="35" spans="1:6">
      <c r="A35" s="5">
        <v>243893</v>
      </c>
      <c r="B35" s="5">
        <v>243894</v>
      </c>
      <c r="C35" s="4" t="s">
        <v>11</v>
      </c>
      <c r="D35" s="6">
        <v>17812</v>
      </c>
      <c r="E35" s="6">
        <v>17108</v>
      </c>
      <c r="F35" s="6">
        <v>17598</v>
      </c>
    </row>
    <row r="36" spans="1:6">
      <c r="A36" s="5">
        <v>243894</v>
      </c>
      <c r="B36" s="5">
        <v>243895</v>
      </c>
      <c r="C36" s="4" t="s">
        <v>12</v>
      </c>
      <c r="D36" s="6">
        <v>88225</v>
      </c>
      <c r="E36" s="6">
        <v>78812</v>
      </c>
      <c r="F36" s="6">
        <v>140227</v>
      </c>
    </row>
    <row r="37" spans="1:6">
      <c r="A37" s="5">
        <v>243894</v>
      </c>
      <c r="B37" s="5">
        <v>243895</v>
      </c>
      <c r="C37" s="4" t="s">
        <v>13</v>
      </c>
      <c r="D37" s="6">
        <v>2884</v>
      </c>
      <c r="E37" s="6">
        <v>3080</v>
      </c>
      <c r="F37" s="6">
        <v>5841</v>
      </c>
    </row>
    <row r="38" spans="1:6">
      <c r="A38" s="5">
        <v>243895</v>
      </c>
      <c r="B38" s="5">
        <v>243896</v>
      </c>
      <c r="C38" s="4" t="s">
        <v>14</v>
      </c>
      <c r="D38" s="6">
        <v>7658</v>
      </c>
      <c r="E38" s="6">
        <v>8865</v>
      </c>
      <c r="F38" s="6">
        <v>10248</v>
      </c>
    </row>
    <row r="39" spans="1:6">
      <c r="A39" s="5">
        <v>243895</v>
      </c>
      <c r="B39" s="5">
        <v>243896</v>
      </c>
      <c r="C39" s="4" t="s">
        <v>15</v>
      </c>
      <c r="D39" s="6">
        <v>8747</v>
      </c>
      <c r="E39" s="6">
        <v>7996</v>
      </c>
      <c r="F39" s="6">
        <v>7794</v>
      </c>
    </row>
    <row r="40" spans="1:6">
      <c r="A40" s="5">
        <v>243896</v>
      </c>
      <c r="B40" s="5">
        <v>243897</v>
      </c>
      <c r="C40" s="9" t="s">
        <v>20</v>
      </c>
      <c r="D40" s="6">
        <v>8458</v>
      </c>
      <c r="E40" s="6">
        <v>7891</v>
      </c>
      <c r="F40" s="6">
        <v>9208</v>
      </c>
    </row>
    <row r="41" spans="1:6">
      <c r="A41" s="5">
        <v>243896</v>
      </c>
      <c r="B41" s="5">
        <v>243897</v>
      </c>
      <c r="C41" s="4" t="s">
        <v>17</v>
      </c>
      <c r="D41" s="6">
        <v>2280</v>
      </c>
      <c r="E41" s="6">
        <v>5957</v>
      </c>
      <c r="F41" s="6">
        <v>6160</v>
      </c>
    </row>
    <row r="42" spans="1:6">
      <c r="A42" s="5">
        <v>243897</v>
      </c>
      <c r="B42" s="5">
        <v>243898</v>
      </c>
      <c r="C42" s="4" t="s">
        <v>18</v>
      </c>
      <c r="D42" s="6">
        <v>20450</v>
      </c>
      <c r="E42" s="6">
        <v>23310</v>
      </c>
      <c r="F42" s="6">
        <v>15435</v>
      </c>
    </row>
    <row r="43" spans="1:6">
      <c r="A43" s="5">
        <v>243897</v>
      </c>
      <c r="B43" s="5">
        <v>243898</v>
      </c>
      <c r="C43" s="4" t="s">
        <v>19</v>
      </c>
      <c r="D43" s="6">
        <v>14745</v>
      </c>
      <c r="E43" s="8">
        <v>15857</v>
      </c>
      <c r="F43" s="6">
        <v>11387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Chi-squared</vt:lpstr>
      <vt:lpstr>ANOVA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Pannathorn Suvannasai</cp:lastModifiedBy>
  <dcterms:created xsi:type="dcterms:W3CDTF">2024-10-16T03:08:53Z</dcterms:created>
  <dcterms:modified xsi:type="dcterms:W3CDTF">2024-12-06T09:58:08Z</dcterms:modified>
</cp:coreProperties>
</file>